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4A226F0E-DA5A-49EA-ABEE-A82270F71808}" xr6:coauthVersionLast="47" xr6:coauthVersionMax="47" xr10:uidLastSave="{00000000-0000-0000-0000-000000000000}"/>
  <bookViews>
    <workbookView xWindow="12710" yWindow="0" windowWidth="12980" windowHeight="15370" firstSheet="3" activeTab="4" xr2:uid="{ECF5DF85-7203-40AF-ADDC-1C4E6A08E0B7}"/>
  </bookViews>
  <sheets>
    <sheet name="01_参数库" sheetId="1" r:id="rId1"/>
    <sheet name="02_生产线状态" sheetId="2" r:id="rId2"/>
    <sheet name="03_季度产能模拟" sheetId="3" r:id="rId3"/>
    <sheet name="04_季度原料需求" sheetId="4" r:id="rId4"/>
    <sheet name="05_年度决策看板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/>
  <c r="G2" i="5"/>
  <c r="E3" i="5"/>
  <c r="E4" i="5"/>
  <c r="E5" i="5"/>
  <c r="E2" i="5"/>
  <c r="B3" i="5"/>
  <c r="B4" i="5"/>
  <c r="B5" i="5"/>
  <c r="B2" i="5"/>
  <c r="F3" i="4"/>
  <c r="F4" i="4"/>
  <c r="F5" i="4"/>
  <c r="F2" i="4"/>
  <c r="L3" i="4"/>
  <c r="L4" i="4"/>
  <c r="L5" i="4"/>
  <c r="L2" i="4"/>
  <c r="K3" i="4"/>
  <c r="K4" i="4"/>
  <c r="K5" i="4"/>
  <c r="K2" i="4"/>
  <c r="J3" i="4"/>
  <c r="J4" i="4"/>
  <c r="J5" i="4"/>
  <c r="J2" i="4"/>
  <c r="N3" i="4"/>
  <c r="O3" i="4"/>
  <c r="P3" i="4"/>
  <c r="Q3" i="4"/>
  <c r="R3" i="4"/>
  <c r="N4" i="4"/>
  <c r="O4" i="4"/>
  <c r="P4" i="4"/>
  <c r="Q4" i="4"/>
  <c r="R4" i="4"/>
  <c r="N5" i="4"/>
  <c r="O5" i="4"/>
  <c r="P5" i="4"/>
  <c r="Q5" i="4"/>
  <c r="R5" i="4"/>
  <c r="O2" i="4"/>
  <c r="P2" i="4"/>
  <c r="Q2" i="4"/>
  <c r="R2" i="4"/>
  <c r="N2" i="4"/>
  <c r="I3" i="4"/>
  <c r="I4" i="4"/>
  <c r="I5" i="4"/>
  <c r="I2" i="4"/>
  <c r="K3" i="3"/>
  <c r="K4" i="3"/>
  <c r="K5" i="3"/>
  <c r="K2" i="3"/>
  <c r="I2" i="3"/>
  <c r="I3" i="3"/>
  <c r="I4" i="3"/>
  <c r="I5" i="3"/>
  <c r="G3" i="3"/>
  <c r="G4" i="3"/>
  <c r="G5" i="3"/>
  <c r="G2" i="3"/>
  <c r="E3" i="3"/>
  <c r="E4" i="3"/>
  <c r="E5" i="3"/>
  <c r="E2" i="3"/>
  <c r="F5" i="3"/>
  <c r="C5" i="3"/>
  <c r="J3" i="3"/>
  <c r="J4" i="3"/>
  <c r="J2" i="3"/>
  <c r="H3" i="3"/>
  <c r="H4" i="3"/>
  <c r="H2" i="3"/>
  <c r="F3" i="3"/>
  <c r="F4" i="3"/>
  <c r="F2" i="3"/>
  <c r="D2" i="3"/>
  <c r="D5" i="3"/>
  <c r="D3" i="3"/>
  <c r="D4" i="3"/>
  <c r="C2" i="3"/>
  <c r="A9" i="3"/>
  <c r="A3" i="3"/>
  <c r="A4" i="3"/>
  <c r="A5" i="3"/>
  <c r="A6" i="3"/>
  <c r="A7" i="3"/>
  <c r="A8" i="3"/>
  <c r="A2" i="3"/>
  <c r="B3" i="3"/>
  <c r="B4" i="3"/>
  <c r="B5" i="3"/>
  <c r="B2" i="3"/>
  <c r="C3" i="3"/>
  <c r="C4" i="3"/>
  <c r="E3" i="2"/>
  <c r="E4" i="2"/>
  <c r="E5" i="2"/>
  <c r="E6" i="2"/>
  <c r="E7" i="2"/>
  <c r="E8" i="2"/>
  <c r="E9" i="2"/>
  <c r="E2" i="2"/>
  <c r="C3" i="4" l="1"/>
  <c r="C2" i="4"/>
  <c r="D2" i="4"/>
  <c r="E2" i="4"/>
  <c r="B4" i="4"/>
  <c r="E4" i="4"/>
  <c r="B5" i="4"/>
  <c r="E5" i="4"/>
  <c r="C5" i="4"/>
  <c r="B2" i="4"/>
  <c r="B3" i="4"/>
  <c r="E3" i="4"/>
  <c r="D4" i="4"/>
  <c r="C4" i="4"/>
  <c r="D5" i="4"/>
  <c r="D3" i="4"/>
  <c r="L3" i="3"/>
  <c r="L4" i="3"/>
  <c r="L2" i="3"/>
  <c r="J5" i="3"/>
  <c r="H5" i="3"/>
  <c r="L5" i="3" l="1"/>
</calcChain>
</file>

<file path=xl/sharedStrings.xml><?xml version="1.0" encoding="utf-8"?>
<sst xmlns="http://schemas.openxmlformats.org/spreadsheetml/2006/main" count="108" uniqueCount="62">
  <si>
    <t>生产线类型</t>
  </si>
  <si>
    <t>购买价</t>
  </si>
  <si>
    <t>安装期</t>
  </si>
  <si>
    <t>生产周期</t>
  </si>
  <si>
    <t>转产周期</t>
  </si>
  <si>
    <t>维护费</t>
  </si>
  <si>
    <t>手工线</t>
  </si>
  <si>
    <t>半自动线</t>
  </si>
  <si>
    <t>全自动线</t>
  </si>
  <si>
    <t>柔性线</t>
  </si>
  <si>
    <t>转产费用</t>
    <phoneticPr fontId="2" type="noConversion"/>
  </si>
  <si>
    <t>残值</t>
    <phoneticPr fontId="2" type="noConversion"/>
  </si>
  <si>
    <t>产品</t>
  </si>
  <si>
    <t>R1</t>
  </si>
  <si>
    <t>R2</t>
  </si>
  <si>
    <t>R3</t>
  </si>
  <si>
    <t>R4</t>
  </si>
  <si>
    <t>P1</t>
  </si>
  <si>
    <t>P2</t>
  </si>
  <si>
    <t>P3</t>
  </si>
  <si>
    <t>P4</t>
  </si>
  <si>
    <t>产品</t>
    <phoneticPr fontId="2" type="noConversion"/>
  </si>
  <si>
    <t>P1</t>
    <phoneticPr fontId="2" type="noConversion"/>
  </si>
  <si>
    <t>生产线类型</t>
    <phoneticPr fontId="2" type="noConversion"/>
  </si>
  <si>
    <t>当前产品</t>
  </si>
  <si>
    <t>线号</t>
    <phoneticPr fontId="2" type="noConversion"/>
  </si>
  <si>
    <t>PL01</t>
  </si>
  <si>
    <t>PL02</t>
  </si>
  <si>
    <t>PL03</t>
  </si>
  <si>
    <t>PL04</t>
  </si>
  <si>
    <t>PL05</t>
  </si>
  <si>
    <t>PL06</t>
  </si>
  <si>
    <t>PL07</t>
  </si>
  <si>
    <t>PL08</t>
  </si>
  <si>
    <t>剩余周期</t>
    <phoneticPr fontId="2" type="noConversion"/>
  </si>
  <si>
    <t>Q1产出</t>
  </si>
  <si>
    <t>Q2产出</t>
  </si>
  <si>
    <t>Q3产出</t>
  </si>
  <si>
    <t>Q4产出</t>
  </si>
  <si>
    <t>周期</t>
  </si>
  <si>
    <t>Q0剩余周期</t>
  </si>
  <si>
    <t>Q1剩余周期</t>
  </si>
  <si>
    <t>Q2剩余周期</t>
  </si>
  <si>
    <t>Q3剩余周期</t>
  </si>
  <si>
    <t>Q4剩余周期</t>
  </si>
  <si>
    <t>原料</t>
  </si>
  <si>
    <t>Q1需求</t>
  </si>
  <si>
    <t>Q2需求</t>
  </si>
  <si>
    <t>Q3需求</t>
  </si>
  <si>
    <t>Q4需求</t>
  </si>
  <si>
    <t>Q1产量</t>
  </si>
  <si>
    <t>Q2产量</t>
  </si>
  <si>
    <t>Q3产量</t>
  </si>
  <si>
    <t>Q4产量</t>
  </si>
  <si>
    <t>提前期</t>
  </si>
  <si>
    <t>原料</t>
    <phoneticPr fontId="2" type="noConversion"/>
  </si>
  <si>
    <t>提前期</t>
    <phoneticPr fontId="2" type="noConversion"/>
  </si>
  <si>
    <t>全年最大产量</t>
  </si>
  <si>
    <t>全年需求</t>
  </si>
  <si>
    <t>R1</t>
    <phoneticPr fontId="2" type="noConversion"/>
  </si>
  <si>
    <t>最高产能产品</t>
  </si>
  <si>
    <t>需求最大原料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</si>
</sst>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D00E-9DA7-4B77-A36D-AF081F8963AF}">
  <sheetPr codeName="Sheet1"/>
  <dimension ref="A1:X6"/>
  <sheetViews>
    <sheetView topLeftCell="L1" workbookViewId="0">
      <selection activeCell="Q1" sqref="Q1:R5"/>
    </sheetView>
  </sheetViews>
  <sheetFormatPr defaultRowHeight="14" x14ac:dyDescent="0.3"/>
  <sheetData>
    <row r="1" spans="1:24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  <c r="H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Q1" s="1" t="s">
        <v>45</v>
      </c>
      <c r="R1" s="1" t="s">
        <v>54</v>
      </c>
      <c r="V1" t="s">
        <v>21</v>
      </c>
      <c r="X1" t="s">
        <v>23</v>
      </c>
    </row>
    <row r="2" spans="1:24" x14ac:dyDescent="0.3">
      <c r="A2" s="2" t="s">
        <v>6</v>
      </c>
      <c r="B2" s="2">
        <v>5</v>
      </c>
      <c r="C2" s="2"/>
      <c r="D2" s="2">
        <v>3</v>
      </c>
      <c r="E2" s="2"/>
      <c r="F2" s="2"/>
      <c r="G2" s="2">
        <v>1</v>
      </c>
      <c r="H2" s="2">
        <v>1</v>
      </c>
      <c r="J2" s="2" t="s">
        <v>17</v>
      </c>
      <c r="K2" s="2">
        <v>1</v>
      </c>
      <c r="L2" s="2">
        <v>0</v>
      </c>
      <c r="M2" s="2">
        <v>0</v>
      </c>
      <c r="N2" s="2">
        <v>0</v>
      </c>
      <c r="Q2" s="2" t="s">
        <v>13</v>
      </c>
      <c r="R2" s="2">
        <v>1</v>
      </c>
      <c r="V2" t="s">
        <v>22</v>
      </c>
      <c r="X2" t="s">
        <v>6</v>
      </c>
    </row>
    <row r="3" spans="1:24" x14ac:dyDescent="0.3">
      <c r="A3" s="2" t="s">
        <v>7</v>
      </c>
      <c r="B3" s="2">
        <v>10</v>
      </c>
      <c r="C3" s="2">
        <v>2</v>
      </c>
      <c r="D3" s="2">
        <v>2</v>
      </c>
      <c r="E3" s="2">
        <v>1</v>
      </c>
      <c r="F3" s="2">
        <v>1</v>
      </c>
      <c r="G3" s="2">
        <v>1</v>
      </c>
      <c r="H3" s="2">
        <v>2</v>
      </c>
      <c r="J3" s="2" t="s">
        <v>18</v>
      </c>
      <c r="K3" s="2">
        <v>1</v>
      </c>
      <c r="L3" s="2">
        <v>1</v>
      </c>
      <c r="M3" s="2">
        <v>0</v>
      </c>
      <c r="N3" s="2">
        <v>0</v>
      </c>
      <c r="Q3" s="2" t="s">
        <v>14</v>
      </c>
      <c r="R3" s="2">
        <v>1</v>
      </c>
      <c r="V3" t="s">
        <v>18</v>
      </c>
      <c r="X3" t="s">
        <v>7</v>
      </c>
    </row>
    <row r="4" spans="1:24" x14ac:dyDescent="0.3">
      <c r="A4" s="2" t="s">
        <v>8</v>
      </c>
      <c r="B4" s="2">
        <v>15</v>
      </c>
      <c r="C4" s="2">
        <v>3</v>
      </c>
      <c r="D4" s="2">
        <v>1</v>
      </c>
      <c r="E4" s="2">
        <v>1</v>
      </c>
      <c r="F4" s="2">
        <v>2</v>
      </c>
      <c r="G4" s="2">
        <v>1</v>
      </c>
      <c r="H4" s="2">
        <v>3</v>
      </c>
      <c r="J4" s="2" t="s">
        <v>19</v>
      </c>
      <c r="K4" s="2">
        <v>0</v>
      </c>
      <c r="L4" s="2">
        <v>2</v>
      </c>
      <c r="M4" s="2">
        <v>1</v>
      </c>
      <c r="N4" s="2">
        <v>0</v>
      </c>
      <c r="Q4" s="2" t="s">
        <v>15</v>
      </c>
      <c r="R4" s="2">
        <v>2</v>
      </c>
      <c r="V4" t="s">
        <v>19</v>
      </c>
      <c r="X4" t="s">
        <v>8</v>
      </c>
    </row>
    <row r="5" spans="1:24" x14ac:dyDescent="0.3">
      <c r="A5" s="2" t="s">
        <v>9</v>
      </c>
      <c r="B5" s="2">
        <v>20</v>
      </c>
      <c r="C5" s="2">
        <v>4</v>
      </c>
      <c r="D5" s="2">
        <v>1</v>
      </c>
      <c r="E5" s="2"/>
      <c r="F5" s="2"/>
      <c r="G5" s="2">
        <v>1</v>
      </c>
      <c r="H5" s="2">
        <v>4</v>
      </c>
      <c r="J5" s="2" t="s">
        <v>20</v>
      </c>
      <c r="K5" s="2">
        <v>0</v>
      </c>
      <c r="L5" s="2">
        <v>1</v>
      </c>
      <c r="M5" s="2">
        <v>1</v>
      </c>
      <c r="N5" s="2">
        <v>2</v>
      </c>
      <c r="Q5" s="2" t="s">
        <v>16</v>
      </c>
      <c r="R5" s="2">
        <v>2</v>
      </c>
      <c r="V5" t="s">
        <v>20</v>
      </c>
      <c r="X5" t="s">
        <v>9</v>
      </c>
    </row>
    <row r="6" spans="1:24" x14ac:dyDescent="0.3">
      <c r="G6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465E-0FB2-4861-9EC1-7DCA72456DB1}">
  <sheetPr codeName="Sheet2"/>
  <dimension ref="A1:E9"/>
  <sheetViews>
    <sheetView workbookViewId="0">
      <selection activeCell="D25" sqref="D25"/>
    </sheetView>
  </sheetViews>
  <sheetFormatPr defaultRowHeight="14" x14ac:dyDescent="0.3"/>
  <sheetData>
    <row r="1" spans="1:5" ht="28" x14ac:dyDescent="0.3">
      <c r="A1" s="2" t="s">
        <v>25</v>
      </c>
      <c r="B1" s="2" t="s">
        <v>0</v>
      </c>
      <c r="C1" s="2" t="s">
        <v>24</v>
      </c>
      <c r="D1" s="2" t="s">
        <v>34</v>
      </c>
      <c r="E1" s="2" t="s">
        <v>3</v>
      </c>
    </row>
    <row r="2" spans="1:5" x14ac:dyDescent="0.3">
      <c r="A2" s="2" t="s">
        <v>26</v>
      </c>
      <c r="B2" t="s">
        <v>8</v>
      </c>
      <c r="C2" t="s">
        <v>20</v>
      </c>
      <c r="D2">
        <v>1</v>
      </c>
      <c r="E2">
        <f>VLOOKUP(B2,'01_参数库'!$A$2:$H$5,4,FALSE)</f>
        <v>1</v>
      </c>
    </row>
    <row r="3" spans="1:5" x14ac:dyDescent="0.3">
      <c r="A3" s="2" t="s">
        <v>27</v>
      </c>
      <c r="B3" t="s">
        <v>7</v>
      </c>
      <c r="C3" t="s">
        <v>18</v>
      </c>
      <c r="D3">
        <v>2</v>
      </c>
      <c r="E3">
        <f>VLOOKUP(B3,'01_参数库'!$A$2:$H$5,4,FALSE)</f>
        <v>2</v>
      </c>
    </row>
    <row r="4" spans="1:5" x14ac:dyDescent="0.3">
      <c r="A4" s="2" t="s">
        <v>28</v>
      </c>
      <c r="B4" t="s">
        <v>6</v>
      </c>
      <c r="C4" t="s">
        <v>17</v>
      </c>
      <c r="D4">
        <v>3</v>
      </c>
      <c r="E4">
        <f>VLOOKUP(B4,'01_参数库'!$A$2:$H$5,4,FALSE)</f>
        <v>3</v>
      </c>
    </row>
    <row r="5" spans="1:5" x14ac:dyDescent="0.3">
      <c r="A5" s="2" t="s">
        <v>29</v>
      </c>
      <c r="B5" t="s">
        <v>8</v>
      </c>
      <c r="C5" t="s">
        <v>19</v>
      </c>
      <c r="D5">
        <v>0</v>
      </c>
      <c r="E5">
        <f>VLOOKUP(B5,'01_参数库'!$A$2:$H$5,4,FALSE)</f>
        <v>1</v>
      </c>
    </row>
    <row r="6" spans="1:5" x14ac:dyDescent="0.3">
      <c r="A6" s="2" t="s">
        <v>30</v>
      </c>
      <c r="E6" t="e">
        <f>VLOOKUP(B6,'01_参数库'!$A$2:$H$5,4,FALSE)</f>
        <v>#N/A</v>
      </c>
    </row>
    <row r="7" spans="1:5" x14ac:dyDescent="0.3">
      <c r="A7" s="2" t="s">
        <v>31</v>
      </c>
      <c r="E7" t="e">
        <f>VLOOKUP(B7,'01_参数库'!$A$2:$H$5,4,FALSE)</f>
        <v>#N/A</v>
      </c>
    </row>
    <row r="8" spans="1:5" x14ac:dyDescent="0.3">
      <c r="A8" s="2" t="s">
        <v>32</v>
      </c>
      <c r="E8" t="e">
        <f>VLOOKUP(B8,'01_参数库'!$A$2:$H$5,4,FALSE)</f>
        <v>#N/A</v>
      </c>
    </row>
    <row r="9" spans="1:5" x14ac:dyDescent="0.3">
      <c r="A9" s="2" t="s">
        <v>33</v>
      </c>
      <c r="E9" t="e">
        <f>VLOOKUP(B9,'01_参数库'!$A$2:$H$5,4,FALSE)</f>
        <v>#N/A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7D2BEB-4462-4B7E-ACDB-165BF6788C32}">
          <x14:formula1>
            <xm:f>'01_参数库'!$X$2:$X$5</xm:f>
          </x14:formula1>
          <xm:sqref>B2:B1048576</xm:sqref>
        </x14:dataValidation>
        <x14:dataValidation type="list" allowBlank="1" showInputMessage="1" showErrorMessage="1" xr:uid="{B33966E0-B3B2-4610-BBA0-FF2BFA5D2D85}">
          <x14:formula1>
            <xm:f>'01_参数库'!$V$2:$V$5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7F01-0FA0-4E22-B283-EE93B636BEB7}">
  <sheetPr codeName="Sheet3"/>
  <dimension ref="A1:L9"/>
  <sheetViews>
    <sheetView zoomScale="88" workbookViewId="0">
      <selection activeCell="I15" sqref="I15"/>
    </sheetView>
  </sheetViews>
  <sheetFormatPr defaultRowHeight="14" x14ac:dyDescent="0.3"/>
  <sheetData>
    <row r="1" spans="1:12" ht="28" x14ac:dyDescent="0.3">
      <c r="A1" s="2" t="s">
        <v>25</v>
      </c>
      <c r="B1" s="2" t="s">
        <v>12</v>
      </c>
      <c r="C1" s="2" t="s">
        <v>39</v>
      </c>
      <c r="D1" s="2" t="s">
        <v>40</v>
      </c>
      <c r="E1" s="2" t="s">
        <v>41</v>
      </c>
      <c r="F1" s="2" t="s">
        <v>35</v>
      </c>
      <c r="G1" s="2" t="s">
        <v>42</v>
      </c>
      <c r="H1" s="2" t="s">
        <v>36</v>
      </c>
      <c r="I1" s="2" t="s">
        <v>43</v>
      </c>
      <c r="J1" s="2" t="s">
        <v>37</v>
      </c>
      <c r="K1" s="2" t="s">
        <v>44</v>
      </c>
      <c r="L1" s="2" t="s">
        <v>38</v>
      </c>
    </row>
    <row r="2" spans="1:12" x14ac:dyDescent="0.3">
      <c r="A2" t="str">
        <f>'02_生产线状态'!A2</f>
        <v>PL01</v>
      </c>
      <c r="B2" t="str">
        <f>'02_生产线状态'!C2</f>
        <v>P4</v>
      </c>
      <c r="C2">
        <f>'02_生产线状态'!E2</f>
        <v>1</v>
      </c>
      <c r="D2">
        <f>'02_生产线状态'!D2</f>
        <v>1</v>
      </c>
      <c r="E2">
        <f>IF(D2=0,C2,IF(D2=1,C2,D2-1))</f>
        <v>1</v>
      </c>
      <c r="F2">
        <f>IF(D2=1,1,0)</f>
        <v>1</v>
      </c>
      <c r="G2">
        <f>IF(E2=1,C2,E2-1)</f>
        <v>1</v>
      </c>
      <c r="H2">
        <f>IF(E2=1,1,0)</f>
        <v>1</v>
      </c>
      <c r="I2">
        <f>IF(G2=1,C2,G2-1)</f>
        <v>1</v>
      </c>
      <c r="J2">
        <f>IF(G2=1,1,0)</f>
        <v>1</v>
      </c>
      <c r="K2">
        <f>IF(I2=1,C2,I2-1)</f>
        <v>1</v>
      </c>
      <c r="L2">
        <f>IF(I2=1,1,0)</f>
        <v>1</v>
      </c>
    </row>
    <row r="3" spans="1:12" x14ac:dyDescent="0.3">
      <c r="A3" t="str">
        <f>'02_生产线状态'!A3</f>
        <v>PL02</v>
      </c>
      <c r="B3" t="str">
        <f>'02_生产线状态'!C3</f>
        <v>P2</v>
      </c>
      <c r="C3">
        <f>'02_生产线状态'!E3</f>
        <v>2</v>
      </c>
      <c r="D3">
        <f>'02_生产线状态'!D3</f>
        <v>2</v>
      </c>
      <c r="E3">
        <f t="shared" ref="E3:E5" si="0">IF(D3=0,C3,IF(D3=1,C3,D3-1))</f>
        <v>1</v>
      </c>
      <c r="F3">
        <f t="shared" ref="F3:F5" si="1">IF(D3=1,1,0)</f>
        <v>0</v>
      </c>
      <c r="G3">
        <f t="shared" ref="G3:G5" si="2">IF(E3=1,C3,E3-1)</f>
        <v>2</v>
      </c>
      <c r="H3">
        <f t="shared" ref="H3:H5" si="3">IF(E3=1,1,0)</f>
        <v>1</v>
      </c>
      <c r="I3">
        <f t="shared" ref="I3:I5" si="4">IF(G3=1,C3,G3-1)</f>
        <v>1</v>
      </c>
      <c r="J3">
        <f t="shared" ref="J3:J5" si="5">IF(G3=1,1,0)</f>
        <v>0</v>
      </c>
      <c r="K3">
        <f t="shared" ref="K3:K5" si="6">IF(I3=1,C3,I3-1)</f>
        <v>2</v>
      </c>
      <c r="L3">
        <f t="shared" ref="L3:L5" si="7">IF(I3=1,1,0)</f>
        <v>1</v>
      </c>
    </row>
    <row r="4" spans="1:12" x14ac:dyDescent="0.3">
      <c r="A4" t="str">
        <f>'02_生产线状态'!A4</f>
        <v>PL03</v>
      </c>
      <c r="B4" t="str">
        <f>'02_生产线状态'!C4</f>
        <v>P1</v>
      </c>
      <c r="C4">
        <f>'02_生产线状态'!E4</f>
        <v>3</v>
      </c>
      <c r="D4">
        <f>'02_生产线状态'!D4</f>
        <v>3</v>
      </c>
      <c r="E4">
        <f t="shared" si="0"/>
        <v>2</v>
      </c>
      <c r="F4">
        <f t="shared" si="1"/>
        <v>0</v>
      </c>
      <c r="G4">
        <f t="shared" si="2"/>
        <v>1</v>
      </c>
      <c r="H4">
        <f t="shared" si="3"/>
        <v>0</v>
      </c>
      <c r="I4">
        <f t="shared" si="4"/>
        <v>3</v>
      </c>
      <c r="J4">
        <f t="shared" si="5"/>
        <v>1</v>
      </c>
      <c r="K4">
        <f t="shared" si="6"/>
        <v>2</v>
      </c>
      <c r="L4">
        <f t="shared" si="7"/>
        <v>0</v>
      </c>
    </row>
    <row r="5" spans="1:12" x14ac:dyDescent="0.3">
      <c r="A5" t="str">
        <f>'02_生产线状态'!A5</f>
        <v>PL04</v>
      </c>
      <c r="B5" t="str">
        <f>'02_生产线状态'!C5</f>
        <v>P3</v>
      </c>
      <c r="C5">
        <f>'02_生产线状态'!E5</f>
        <v>1</v>
      </c>
      <c r="D5">
        <f>'02_生产线状态'!D5</f>
        <v>0</v>
      </c>
      <c r="E5">
        <f t="shared" si="0"/>
        <v>1</v>
      </c>
      <c r="F5">
        <f t="shared" si="1"/>
        <v>0</v>
      </c>
      <c r="G5">
        <f t="shared" si="2"/>
        <v>1</v>
      </c>
      <c r="H5">
        <f t="shared" si="3"/>
        <v>1</v>
      </c>
      <c r="I5">
        <f t="shared" si="4"/>
        <v>1</v>
      </c>
      <c r="J5">
        <f t="shared" si="5"/>
        <v>1</v>
      </c>
      <c r="K5">
        <f t="shared" si="6"/>
        <v>1</v>
      </c>
      <c r="L5">
        <f t="shared" si="7"/>
        <v>1</v>
      </c>
    </row>
    <row r="6" spans="1:12" x14ac:dyDescent="0.3">
      <c r="A6" t="str">
        <f>'02_生产线状态'!A6</f>
        <v>PL05</v>
      </c>
    </row>
    <row r="7" spans="1:12" x14ac:dyDescent="0.3">
      <c r="A7" t="str">
        <f>'02_生产线状态'!A7</f>
        <v>PL06</v>
      </c>
    </row>
    <row r="8" spans="1:12" x14ac:dyDescent="0.3">
      <c r="A8" t="str">
        <f>'02_生产线状态'!A8</f>
        <v>PL07</v>
      </c>
    </row>
    <row r="9" spans="1:12" x14ac:dyDescent="0.3">
      <c r="A9" t="str">
        <f>'02_生产线状态'!A9</f>
        <v>PL08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3B9E-5133-4C36-9D29-68551A07F050}">
  <sheetPr codeName="Sheet4"/>
  <dimension ref="A1:R5"/>
  <sheetViews>
    <sheetView zoomScale="70" zoomScaleNormal="70" workbookViewId="0">
      <selection activeCell="O11" sqref="O11"/>
    </sheetView>
  </sheetViews>
  <sheetFormatPr defaultRowHeight="14" x14ac:dyDescent="0.3"/>
  <sheetData>
    <row r="1" spans="1:18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56</v>
      </c>
      <c r="H1" s="2" t="s">
        <v>12</v>
      </c>
      <c r="I1" s="2" t="s">
        <v>50</v>
      </c>
      <c r="J1" s="2" t="s">
        <v>51</v>
      </c>
      <c r="K1" s="2" t="s">
        <v>52</v>
      </c>
      <c r="L1" s="2" t="s">
        <v>53</v>
      </c>
      <c r="N1" s="2" t="s">
        <v>21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2" t="s">
        <v>13</v>
      </c>
      <c r="B2" s="2">
        <f>SUMPRODUCT(I$2:I$5,O$2:O$5)</f>
        <v>0</v>
      </c>
      <c r="C2" s="2">
        <f>SUMPRODUCT(J$2:J$5,O$2:O$5)</f>
        <v>1</v>
      </c>
      <c r="D2" s="2">
        <f>SUMPRODUCT(K$2:K$5,O$2:O$5)</f>
        <v>1</v>
      </c>
      <c r="E2" s="2">
        <f>SUMPRODUCT(L$2:L$5,O$2:O$5)</f>
        <v>1</v>
      </c>
      <c r="F2">
        <f>_xlfn.XLOOKUP(A2,'01_参数库'!$Q$2:$Q$5,'01_参数库'!$R$2:$R$5)</f>
        <v>1</v>
      </c>
      <c r="H2" t="s">
        <v>17</v>
      </c>
      <c r="I2">
        <f>SUMIFS('03_季度产能模拟'!$F:$F,'03_季度产能模拟'!$B:$B,H2)</f>
        <v>0</v>
      </c>
      <c r="J2">
        <f>SUMIFS('03_季度产能模拟'!$H:$H,'03_季度产能模拟'!$B:$B,$H2)</f>
        <v>0</v>
      </c>
      <c r="K2">
        <f>SUMIFS('03_季度产能模拟'!$J:$J,'03_季度产能模拟'!$B:$B,$H2)</f>
        <v>1</v>
      </c>
      <c r="L2">
        <f>SUMIFS('03_季度产能模拟'!$L:$L,'03_季度产能模拟'!$B:$B,$H2)</f>
        <v>0</v>
      </c>
      <c r="N2" t="str">
        <f>'01_参数库'!J2</f>
        <v>P1</v>
      </c>
      <c r="O2">
        <f>'01_参数库'!K2</f>
        <v>1</v>
      </c>
      <c r="P2">
        <f>'01_参数库'!L2</f>
        <v>0</v>
      </c>
      <c r="Q2">
        <f>'01_参数库'!M2</f>
        <v>0</v>
      </c>
      <c r="R2">
        <f>'01_参数库'!N2</f>
        <v>0</v>
      </c>
    </row>
    <row r="3" spans="1:18" x14ac:dyDescent="0.3">
      <c r="A3" s="2" t="s">
        <v>14</v>
      </c>
      <c r="B3" s="2">
        <f>SUMPRODUCT($I$2:$I$5,$P$2:$P$5)</f>
        <v>1</v>
      </c>
      <c r="C3" s="2">
        <f>SUMPRODUCT($I$2:$I$5,$P$2:$P$5)</f>
        <v>1</v>
      </c>
      <c r="D3" s="2">
        <f>SUMPRODUCT($I$2:$I$5,$P$2:$P$5)</f>
        <v>1</v>
      </c>
      <c r="E3" s="2">
        <f>SUMPRODUCT($I$2:$I$5,$P$2:$P$5)</f>
        <v>1</v>
      </c>
      <c r="F3">
        <f>_xlfn.XLOOKUP(A3,'01_参数库'!$Q$2:$Q$5,'01_参数库'!$R$2:$R$5)</f>
        <v>1</v>
      </c>
      <c r="H3" t="s">
        <v>18</v>
      </c>
      <c r="I3">
        <f>SUMIFS('03_季度产能模拟'!$F:$F,'03_季度产能模拟'!$B:$B,H3)</f>
        <v>0</v>
      </c>
      <c r="J3">
        <f>SUMIFS('03_季度产能模拟'!$H:$H,'03_季度产能模拟'!$B:$B,$H3)</f>
        <v>1</v>
      </c>
      <c r="K3">
        <f>SUMIFS('03_季度产能模拟'!$J:$J,'03_季度产能模拟'!$B:$B,$H3)</f>
        <v>0</v>
      </c>
      <c r="L3">
        <f>SUMIFS('03_季度产能模拟'!$L:$L,'03_季度产能模拟'!$B:$B,$H3)</f>
        <v>1</v>
      </c>
      <c r="N3" t="str">
        <f>'01_参数库'!J3</f>
        <v>P2</v>
      </c>
      <c r="O3">
        <f>'01_参数库'!K3</f>
        <v>1</v>
      </c>
      <c r="P3">
        <f>'01_参数库'!L3</f>
        <v>1</v>
      </c>
      <c r="Q3">
        <f>'01_参数库'!M3</f>
        <v>0</v>
      </c>
      <c r="R3">
        <f>'01_参数库'!N3</f>
        <v>0</v>
      </c>
    </row>
    <row r="4" spans="1:18" x14ac:dyDescent="0.3">
      <c r="A4" s="2" t="s">
        <v>15</v>
      </c>
      <c r="B4" s="2">
        <f>SUMPRODUCT($I$2:$I$5,$Q$2:$Q$5)</f>
        <v>1</v>
      </c>
      <c r="C4" s="2">
        <f>SUMPRODUCT($I$2:$I$5,$Q$2:$Q$5)</f>
        <v>1</v>
      </c>
      <c r="D4" s="2">
        <f>SUMPRODUCT($I$2:$I$5,$Q$2:$Q$5)</f>
        <v>1</v>
      </c>
      <c r="E4" s="2">
        <f>SUMPRODUCT($I$2:$I$5,$Q$2:$Q$5)</f>
        <v>1</v>
      </c>
      <c r="F4">
        <f>_xlfn.XLOOKUP(A4,'01_参数库'!$Q$2:$Q$5,'01_参数库'!$R$2:$R$5)</f>
        <v>2</v>
      </c>
      <c r="H4" t="s">
        <v>19</v>
      </c>
      <c r="I4">
        <f>SUMIFS('03_季度产能模拟'!$F:$F,'03_季度产能模拟'!$B:$B,H4)</f>
        <v>0</v>
      </c>
      <c r="J4">
        <f>SUMIFS('03_季度产能模拟'!$H:$H,'03_季度产能模拟'!$B:$B,$H4)</f>
        <v>1</v>
      </c>
      <c r="K4">
        <f>SUMIFS('03_季度产能模拟'!$J:$J,'03_季度产能模拟'!$B:$B,$H4)</f>
        <v>1</v>
      </c>
      <c r="L4">
        <f>SUMIFS('03_季度产能模拟'!$L:$L,'03_季度产能模拟'!$B:$B,$H4)</f>
        <v>1</v>
      </c>
      <c r="N4" t="str">
        <f>'01_参数库'!J4</f>
        <v>P3</v>
      </c>
      <c r="O4">
        <f>'01_参数库'!K4</f>
        <v>0</v>
      </c>
      <c r="P4">
        <f>'01_参数库'!L4</f>
        <v>2</v>
      </c>
      <c r="Q4">
        <f>'01_参数库'!M4</f>
        <v>1</v>
      </c>
      <c r="R4">
        <f>'01_参数库'!N4</f>
        <v>0</v>
      </c>
    </row>
    <row r="5" spans="1:18" x14ac:dyDescent="0.3">
      <c r="A5" s="2" t="s">
        <v>16</v>
      </c>
      <c r="B5" s="2">
        <f>SUMPRODUCT($I$2:$I$5,$R$2:$R$5)</f>
        <v>2</v>
      </c>
      <c r="C5" s="2">
        <f>SUMPRODUCT($I$2:$I$5,$R$2:$R$5)</f>
        <v>2</v>
      </c>
      <c r="D5" s="2">
        <f>SUMPRODUCT($I$2:$I$5,$R$2:$R$5)</f>
        <v>2</v>
      </c>
      <c r="E5" s="2">
        <f>SUMPRODUCT($I$2:$I$5,$R$2:$R$5)</f>
        <v>2</v>
      </c>
      <c r="F5">
        <f>_xlfn.XLOOKUP(A5,'01_参数库'!$Q$2:$Q$5,'01_参数库'!$R$2:$R$5)</f>
        <v>2</v>
      </c>
      <c r="H5" t="s">
        <v>20</v>
      </c>
      <c r="I5">
        <f>SUMIFS('03_季度产能模拟'!$F:$F,'03_季度产能模拟'!$B:$B,H5)</f>
        <v>1</v>
      </c>
      <c r="J5">
        <f>SUMIFS('03_季度产能模拟'!$H:$H,'03_季度产能模拟'!$B:$B,$H5)</f>
        <v>1</v>
      </c>
      <c r="K5">
        <f>SUMIFS('03_季度产能模拟'!$J:$J,'03_季度产能模拟'!$B:$B,$H5)</f>
        <v>1</v>
      </c>
      <c r="L5">
        <f>SUMIFS('03_季度产能模拟'!$L:$L,'03_季度产能模拟'!$B:$B,$H5)</f>
        <v>1</v>
      </c>
      <c r="N5" t="str">
        <f>'01_参数库'!J5</f>
        <v>P4</v>
      </c>
      <c r="O5">
        <f>'01_参数库'!K5</f>
        <v>0</v>
      </c>
      <c r="P5">
        <f>'01_参数库'!L5</f>
        <v>1</v>
      </c>
      <c r="Q5">
        <f>'01_参数库'!M5</f>
        <v>1</v>
      </c>
      <c r="R5">
        <f>'01_参数库'!N5</f>
        <v>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1E84-BC4C-4E58-B5DA-F2D131006D3D}">
  <sheetPr codeName="Sheet5"/>
  <dimension ref="A1:I5"/>
  <sheetViews>
    <sheetView tabSelected="1" workbookViewId="0">
      <selection activeCell="I3" sqref="I3"/>
    </sheetView>
  </sheetViews>
  <sheetFormatPr defaultRowHeight="14" x14ac:dyDescent="0.3"/>
  <sheetData>
    <row r="1" spans="1:9" ht="28" x14ac:dyDescent="0.3">
      <c r="A1" s="2" t="s">
        <v>12</v>
      </c>
      <c r="B1" s="2" t="s">
        <v>57</v>
      </c>
      <c r="D1" s="2" t="s">
        <v>55</v>
      </c>
      <c r="E1" s="2" t="s">
        <v>58</v>
      </c>
      <c r="G1" t="s">
        <v>60</v>
      </c>
      <c r="I1" t="s">
        <v>61</v>
      </c>
    </row>
    <row r="2" spans="1:9" x14ac:dyDescent="0.3">
      <c r="A2" t="s">
        <v>17</v>
      </c>
      <c r="B2">
        <f>SUM('04_季度原料需求'!I2:L2)</f>
        <v>1</v>
      </c>
      <c r="D2" t="s">
        <v>59</v>
      </c>
      <c r="E2">
        <f>SUM('04_季度原料需求'!B2:E2)</f>
        <v>3</v>
      </c>
      <c r="G2" t="str">
        <f>INDEX(A2:A5,MATCH(MAX(B2:B5),B2:B5,0))</f>
        <v>P4</v>
      </c>
      <c r="I2" t="str">
        <f>INDEX(D2:D5,MATCH(MAX(E2:E5),E2:E5,0))</f>
        <v>R4</v>
      </c>
    </row>
    <row r="3" spans="1:9" x14ac:dyDescent="0.3">
      <c r="A3" t="s">
        <v>18</v>
      </c>
      <c r="B3">
        <f>SUM('04_季度原料需求'!I3:L3)</f>
        <v>2</v>
      </c>
      <c r="D3" t="s">
        <v>14</v>
      </c>
      <c r="E3">
        <f>SUM('04_季度原料需求'!B3:E3)</f>
        <v>4</v>
      </c>
    </row>
    <row r="4" spans="1:9" x14ac:dyDescent="0.3">
      <c r="A4" t="s">
        <v>19</v>
      </c>
      <c r="B4">
        <f>SUM('04_季度原料需求'!I4:L4)</f>
        <v>3</v>
      </c>
      <c r="D4" t="s">
        <v>15</v>
      </c>
      <c r="E4">
        <f>SUM('04_季度原料需求'!B4:E4)</f>
        <v>4</v>
      </c>
    </row>
    <row r="5" spans="1:9" x14ac:dyDescent="0.3">
      <c r="A5" t="s">
        <v>20</v>
      </c>
      <c r="B5">
        <f>SUM('04_季度原料需求'!I5:L5)</f>
        <v>4</v>
      </c>
      <c r="D5" t="s">
        <v>16</v>
      </c>
      <c r="E5">
        <f>SUM('04_季度原料需求'!B5:E5)</f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01_参数库</vt:lpstr>
      <vt:lpstr>02_生产线状态</vt:lpstr>
      <vt:lpstr>03_季度产能模拟</vt:lpstr>
      <vt:lpstr>04_季度原料需求</vt:lpstr>
      <vt:lpstr>05_年度决策看板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一茗 荆</dc:creator>
  <cp:lastModifiedBy>一茗 荆</cp:lastModifiedBy>
  <dcterms:created xsi:type="dcterms:W3CDTF">2026-06-03T02:15:29Z</dcterms:created>
  <dcterms:modified xsi:type="dcterms:W3CDTF">2026-06-03T03:24:25Z</dcterms:modified>
</cp:coreProperties>
</file>